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CCA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uentes" sheetId="3" state="visible" r:id="rId3"/>
  </sheets>
  <definedNames>
    <definedName name="_xlnm._FilterDatabase" localSheetId="0" hidden="1">'Datos CCAA'!$A$1:$W$18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5DB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Bruto medio: sin guardias vs cartel con 80h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'Resumen'!$B$1:$F$1</f>
            </numRef>
          </cat>
          <val>
            <numRef>
              <f>'Resumen'!$C$2:$F$2</f>
            </numRef>
          </val>
        </ser>
        <ser>
          <idx val="1"/>
          <order val="1"/>
          <tx>
            <strRef>
              <f>'Resumen'!B3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'Resumen'!$B$1:$F$1</f>
            </numRef>
          </cat>
          <val>
            <numRef>
              <f>'Resumen'!$C$3:$F$3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 residencia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€/mes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CCAA</t>
        </is>
      </c>
      <c r="B1" s="1" t="inlineStr">
        <is>
          <t>Fuente</t>
        </is>
      </c>
      <c r="C1" s="1" t="inlineStr">
        <is>
          <t>R1 sin guardias</t>
        </is>
      </c>
      <c r="D1" s="1" t="inlineStr">
        <is>
          <t>R2 sin guardias</t>
        </is>
      </c>
      <c r="E1" s="1" t="inlineStr">
        <is>
          <t>R3 sin guardias</t>
        </is>
      </c>
      <c r="F1" s="1" t="inlineStr">
        <is>
          <t>R4 sin guardias</t>
        </is>
      </c>
      <c r="G1" s="1" t="inlineStr">
        <is>
          <t>R5 sin guardias</t>
        </is>
      </c>
      <c r="H1" s="1" t="inlineStr">
        <is>
          <t>R1 lab</t>
        </is>
      </c>
      <c r="I1" s="1" t="inlineStr">
        <is>
          <t>R1 fest</t>
        </is>
      </c>
      <c r="J1" s="1" t="inlineStr">
        <is>
          <t>R1 especial</t>
        </is>
      </c>
      <c r="K1" s="1" t="inlineStr">
        <is>
          <t>R2 lab</t>
        </is>
      </c>
      <c r="L1" s="1" t="inlineStr">
        <is>
          <t>R2 fest</t>
        </is>
      </c>
      <c r="M1" s="1" t="inlineStr">
        <is>
          <t>R2 especial</t>
        </is>
      </c>
      <c r="N1" s="1" t="inlineStr">
        <is>
          <t>R3 lab</t>
        </is>
      </c>
      <c r="O1" s="1" t="inlineStr">
        <is>
          <t>R3 fest</t>
        </is>
      </c>
      <c r="P1" s="1" t="inlineStr">
        <is>
          <t>R3 especial</t>
        </is>
      </c>
      <c r="Q1" s="1" t="inlineStr">
        <is>
          <t>R4/R5 lab</t>
        </is>
      </c>
      <c r="R1" s="1" t="inlineStr">
        <is>
          <t>R4/R5 fest</t>
        </is>
      </c>
      <c r="S1" s="1" t="inlineStr">
        <is>
          <t>R4/R5 especial</t>
        </is>
      </c>
      <c r="T1" s="1" t="inlineStr">
        <is>
          <t>R1 neto con 80h</t>
        </is>
      </c>
      <c r="U1" s="1" t="inlineStr">
        <is>
          <t>R1 bruto con 80h</t>
        </is>
      </c>
      <c r="V1" s="1" t="inlineStr">
        <is>
          <t>R5 neto con 80h</t>
        </is>
      </c>
      <c r="W1" s="1" t="inlineStr">
        <is>
          <t>R5 bruto con 80h</t>
        </is>
      </c>
    </row>
    <row r="2">
      <c r="A2" s="2" t="inlineStr">
        <is>
          <t>Andalucía</t>
        </is>
      </c>
      <c r="B2" s="2" t="inlineStr">
        <is>
          <t>SIMEG + SAS</t>
        </is>
      </c>
      <c r="C2" s="2" t="n">
        <v>1380</v>
      </c>
      <c r="D2" s="2" t="n">
        <v>1490</v>
      </c>
      <c r="E2" s="2" t="n">
        <v>1628</v>
      </c>
      <c r="F2" s="2" t="n">
        <v>1766</v>
      </c>
      <c r="G2" s="2" t="n">
        <v>1904</v>
      </c>
      <c r="H2" s="2" t="n">
        <v>14.07</v>
      </c>
      <c r="I2" s="2" t="n">
        <v>15.78</v>
      </c>
      <c r="J2" s="2" t="n">
        <v>28.14</v>
      </c>
      <c r="K2" s="2" t="n">
        <v>15.42</v>
      </c>
      <c r="L2" s="2" t="n">
        <v>17.28</v>
      </c>
      <c r="M2" s="2" t="n">
        <v>30.84</v>
      </c>
      <c r="N2" s="2" t="n">
        <v>18.02</v>
      </c>
      <c r="O2" s="2" t="n">
        <v>20.17</v>
      </c>
      <c r="P2" s="2" t="n">
        <v>36.04</v>
      </c>
      <c r="Q2" s="2" t="n">
        <v>20.22</v>
      </c>
      <c r="R2" s="2" t="n">
        <v>22.61</v>
      </c>
      <c r="S2" s="2" t="n">
        <v>40.44</v>
      </c>
      <c r="T2" s="2" t="n">
        <v>1925</v>
      </c>
      <c r="U2" s="2" t="n">
        <v>2557</v>
      </c>
      <c r="V2" s="2" t="n">
        <v>2563</v>
      </c>
      <c r="W2" s="2" t="n">
        <v>3594</v>
      </c>
    </row>
    <row r="3">
      <c r="A3" s="3" t="inlineStr">
        <is>
          <t>Aragón</t>
        </is>
      </c>
      <c r="B3" s="3" t="inlineStr">
        <is>
          <t>SIMEG + SALUD</t>
        </is>
      </c>
      <c r="C3" s="3" t="n">
        <v>1387</v>
      </c>
      <c r="D3" s="3" t="n">
        <v>1498</v>
      </c>
      <c r="E3" s="3" t="n">
        <v>1637</v>
      </c>
      <c r="F3" s="3" t="n">
        <v>1776</v>
      </c>
      <c r="G3" s="3" t="n">
        <v>1914</v>
      </c>
      <c r="H3" s="3" t="n">
        <v>17.34</v>
      </c>
      <c r="I3" s="3" t="n">
        <v>18.58</v>
      </c>
      <c r="J3" s="3" t="n">
        <v>34.68</v>
      </c>
      <c r="K3" s="3" t="n">
        <v>18.79</v>
      </c>
      <c r="L3" s="3" t="n">
        <v>20.13</v>
      </c>
      <c r="M3" s="3" t="n">
        <v>37.58</v>
      </c>
      <c r="N3" s="3" t="n">
        <v>20.23</v>
      </c>
      <c r="O3" s="3" t="n">
        <v>21.68</v>
      </c>
      <c r="P3" s="3" t="n">
        <v>40.46</v>
      </c>
      <c r="Q3" s="3" t="n">
        <v>21.68</v>
      </c>
      <c r="R3" s="3" t="n">
        <v>23.23</v>
      </c>
      <c r="S3" s="3" t="n">
        <v>43.36</v>
      </c>
      <c r="T3" s="3" t="n">
        <v>2083</v>
      </c>
      <c r="U3" s="3" t="n">
        <v>2796</v>
      </c>
      <c r="V3" s="3" t="n">
        <v>2611</v>
      </c>
      <c r="W3" s="3" t="n">
        <v>3675</v>
      </c>
    </row>
    <row r="4">
      <c r="A4" s="2" t="inlineStr">
        <is>
          <t>Asturias</t>
        </is>
      </c>
      <c r="B4" s="2" t="inlineStr">
        <is>
          <t>SIMEG</t>
        </is>
      </c>
      <c r="C4" s="2" t="n">
        <v>1387</v>
      </c>
      <c r="D4" s="2" t="n">
        <v>1498</v>
      </c>
      <c r="E4" s="2" t="n">
        <v>1637</v>
      </c>
      <c r="F4" s="2" t="n">
        <v>1776</v>
      </c>
      <c r="G4" s="2" t="n">
        <v>1914</v>
      </c>
      <c r="H4" s="2" t="n">
        <v>17.01</v>
      </c>
      <c r="I4" s="2" t="n">
        <v>18.18</v>
      </c>
      <c r="J4" s="2" t="n">
        <v>25.81</v>
      </c>
      <c r="K4" s="2" t="n">
        <v>19.32</v>
      </c>
      <c r="L4" s="2" t="n">
        <v>20.66</v>
      </c>
      <c r="M4" s="2" t="n">
        <v>29.32</v>
      </c>
      <c r="N4" s="2" t="n">
        <v>21.65</v>
      </c>
      <c r="O4" s="2" t="n">
        <v>23.14</v>
      </c>
      <c r="P4" s="2" t="n">
        <v>32.84</v>
      </c>
      <c r="Q4" s="2" t="n">
        <v>23.97</v>
      </c>
      <c r="R4" s="2" t="n">
        <v>25.63</v>
      </c>
      <c r="S4" s="2" t="n">
        <v>36.36</v>
      </c>
      <c r="T4" s="2" t="n">
        <v>2089</v>
      </c>
      <c r="U4" s="2" t="n">
        <v>2783</v>
      </c>
      <c r="V4" s="2" t="n">
        <v>2757</v>
      </c>
      <c r="W4" s="2" t="n">
        <v>3881</v>
      </c>
    </row>
    <row r="5">
      <c r="A5" s="3" t="inlineStr">
        <is>
          <t>Baleares</t>
        </is>
      </c>
      <c r="B5" s="3" t="inlineStr">
        <is>
          <t>SIMEG + Ibsalut</t>
        </is>
      </c>
      <c r="C5" s="3" t="n">
        <v>1638</v>
      </c>
      <c r="D5" s="3" t="n">
        <v>1776</v>
      </c>
      <c r="E5" s="3" t="n">
        <v>1915</v>
      </c>
      <c r="F5" s="3" t="n">
        <v>2054</v>
      </c>
      <c r="G5" s="3" t="n">
        <v>2193</v>
      </c>
      <c r="H5" s="3" t="n">
        <v>19.29</v>
      </c>
      <c r="I5" s="3" t="n">
        <v>21.21</v>
      </c>
      <c r="J5" s="3" t="n">
        <v>42.44</v>
      </c>
      <c r="K5" s="3" t="n">
        <v>21.08</v>
      </c>
      <c r="L5" s="3" t="n">
        <v>23.18</v>
      </c>
      <c r="M5" s="3" t="n">
        <v>46.36</v>
      </c>
      <c r="N5" s="3" t="n">
        <v>23.49</v>
      </c>
      <c r="O5" s="3" t="n">
        <v>25.83</v>
      </c>
      <c r="P5" s="3" t="n">
        <v>51.68</v>
      </c>
      <c r="Q5" s="3" t="n">
        <v>25.91</v>
      </c>
      <c r="R5" s="3" t="n">
        <v>28.28</v>
      </c>
      <c r="S5" s="3" t="n">
        <v>56.99</v>
      </c>
      <c r="T5" s="3" t="n">
        <v>2407</v>
      </c>
      <c r="U5" s="3" t="n">
        <v>3239</v>
      </c>
      <c r="V5" s="3" t="n">
        <v>3041</v>
      </c>
      <c r="W5" s="3" t="n">
        <v>4337</v>
      </c>
    </row>
    <row r="6">
      <c r="A6" s="2" t="inlineStr">
        <is>
          <t>Canarias</t>
        </is>
      </c>
      <c r="B6" s="2" t="inlineStr">
        <is>
          <t>SIMEG + SCS</t>
        </is>
      </c>
      <c r="C6" s="2" t="n">
        <v>1591</v>
      </c>
      <c r="D6" s="2" t="n">
        <v>1702</v>
      </c>
      <c r="E6" s="2" t="n">
        <v>1841</v>
      </c>
      <c r="F6" s="2" t="n">
        <v>1979</v>
      </c>
      <c r="G6" s="2" t="n">
        <v>2118</v>
      </c>
      <c r="H6" s="2" t="n">
        <v>11.2</v>
      </c>
      <c r="I6" s="2" t="n">
        <v>17.92</v>
      </c>
      <c r="J6" s="2" t="n">
        <v>22.4</v>
      </c>
      <c r="K6" s="2" t="n">
        <v>13.66</v>
      </c>
      <c r="L6" s="2" t="n">
        <v>21.86</v>
      </c>
      <c r="M6" s="2" t="n">
        <v>27.32</v>
      </c>
      <c r="N6" s="2" t="n">
        <v>16.15</v>
      </c>
      <c r="O6" s="2" t="n">
        <v>25.84</v>
      </c>
      <c r="P6" s="2" t="n">
        <v>32.3</v>
      </c>
      <c r="Q6" s="2" t="n">
        <v>18.59</v>
      </c>
      <c r="R6" s="2" t="n">
        <v>29.74</v>
      </c>
      <c r="S6" s="2" t="n">
        <v>37.18</v>
      </c>
      <c r="T6" s="2" t="n">
        <v>2012</v>
      </c>
      <c r="U6" s="2" t="n">
        <v>2689</v>
      </c>
      <c r="V6" s="2" t="n">
        <v>2770</v>
      </c>
      <c r="W6" s="2" t="n">
        <v>3940</v>
      </c>
    </row>
    <row r="7">
      <c r="A7" s="3" t="inlineStr">
        <is>
          <t>Cantabria</t>
        </is>
      </c>
      <c r="B7" s="3" t="inlineStr">
        <is>
          <t>SIMEG</t>
        </is>
      </c>
      <c r="C7" s="3" t="n">
        <v>1380</v>
      </c>
      <c r="D7" s="3" t="n">
        <v>1489</v>
      </c>
      <c r="E7" s="3" t="n">
        <v>1626</v>
      </c>
      <c r="F7" s="3" t="n">
        <v>1763</v>
      </c>
      <c r="G7" s="3" t="n">
        <v>1899</v>
      </c>
      <c r="H7" s="3" t="n">
        <v>16.8</v>
      </c>
      <c r="I7" s="3" t="n">
        <v>19.52</v>
      </c>
      <c r="J7" s="3" t="n">
        <v>31.43</v>
      </c>
      <c r="K7" s="3" t="n">
        <v>19.02</v>
      </c>
      <c r="L7" s="3" t="n">
        <v>20.78</v>
      </c>
      <c r="M7" s="3" t="n">
        <v>33.46</v>
      </c>
      <c r="N7" s="3" t="n">
        <v>21.47</v>
      </c>
      <c r="O7" s="3" t="n">
        <v>23.41</v>
      </c>
      <c r="P7" s="3" t="n">
        <v>37.68</v>
      </c>
      <c r="Q7" s="3" t="n">
        <v>23.95</v>
      </c>
      <c r="R7" s="3" t="n">
        <v>26.07</v>
      </c>
      <c r="S7" s="3" t="n">
        <v>41.33</v>
      </c>
      <c r="T7" s="3" t="n">
        <v>2067</v>
      </c>
      <c r="U7" s="3" t="n">
        <v>2770</v>
      </c>
      <c r="V7" s="3" t="n">
        <v>2717</v>
      </c>
      <c r="W7" s="3" t="n">
        <v>3851</v>
      </c>
    </row>
    <row r="8">
      <c r="A8" s="2" t="inlineStr">
        <is>
          <t>Castilla y León</t>
        </is>
      </c>
      <c r="B8" s="2" t="inlineStr">
        <is>
          <t>SIMEG</t>
        </is>
      </c>
      <c r="C8" s="2" t="n">
        <v>1380</v>
      </c>
      <c r="D8" s="2" t="n">
        <v>1490</v>
      </c>
      <c r="E8" s="2" t="n">
        <v>1628</v>
      </c>
      <c r="F8" s="2" t="n">
        <v>1766</v>
      </c>
      <c r="G8" s="2" t="n">
        <v>1904</v>
      </c>
      <c r="H8" s="2" t="n">
        <v>15.48</v>
      </c>
      <c r="I8" s="2" t="n">
        <v>17.34</v>
      </c>
      <c r="J8" s="2" t="n">
        <v>27.98</v>
      </c>
      <c r="K8" s="2" t="n">
        <v>17.74</v>
      </c>
      <c r="L8" s="2" t="n">
        <v>19.8</v>
      </c>
      <c r="M8" s="2" t="n">
        <v>31.9</v>
      </c>
      <c r="N8" s="2" t="n">
        <v>20.08</v>
      </c>
      <c r="O8" s="2" t="n">
        <v>22.38</v>
      </c>
      <c r="P8" s="2" t="n">
        <v>36</v>
      </c>
      <c r="Q8" s="2" t="n">
        <v>22.34</v>
      </c>
      <c r="R8" s="2" t="n">
        <v>24.88</v>
      </c>
      <c r="S8" s="2" t="n">
        <v>40.1</v>
      </c>
      <c r="T8" s="2" t="n">
        <v>2003</v>
      </c>
      <c r="U8" s="2" t="n">
        <v>2674</v>
      </c>
      <c r="V8" s="2" t="n">
        <v>2667</v>
      </c>
      <c r="W8" s="2" t="n">
        <v>3768</v>
      </c>
    </row>
    <row r="9">
      <c r="A9" s="3" t="inlineStr">
        <is>
          <t>Castilla-La Mancha</t>
        </is>
      </c>
      <c r="B9" s="3" t="inlineStr">
        <is>
          <t>SIMEG + SESCAM</t>
        </is>
      </c>
      <c r="C9" s="3" t="n">
        <v>1387</v>
      </c>
      <c r="D9" s="3" t="n">
        <v>1498</v>
      </c>
      <c r="E9" s="3" t="n">
        <v>1637</v>
      </c>
      <c r="F9" s="3" t="n">
        <v>1776</v>
      </c>
      <c r="G9" s="3" t="n">
        <v>1914</v>
      </c>
      <c r="H9" s="3" t="n">
        <v>18.21</v>
      </c>
      <c r="I9" s="3" t="n">
        <v>19.53</v>
      </c>
      <c r="J9" s="3" t="n">
        <v>26.34</v>
      </c>
      <c r="K9" s="3" t="n">
        <v>21.67</v>
      </c>
      <c r="L9" s="3" t="n">
        <v>23.23</v>
      </c>
      <c r="M9" s="3" t="n">
        <v>30.12</v>
      </c>
      <c r="N9" s="3" t="n">
        <v>24.28</v>
      </c>
      <c r="O9" s="3" t="n">
        <v>25.97</v>
      </c>
      <c r="P9" s="3" t="n">
        <v>33.85</v>
      </c>
      <c r="Q9" s="3" t="n">
        <v>27.74</v>
      </c>
      <c r="R9" s="3" t="n">
        <v>29.7</v>
      </c>
      <c r="S9" s="3" t="n">
        <v>39.52</v>
      </c>
      <c r="T9" s="3" t="n">
        <v>2141</v>
      </c>
      <c r="U9" s="3" t="n">
        <v>2884</v>
      </c>
      <c r="V9" s="3" t="n">
        <v>2919</v>
      </c>
      <c r="W9" s="3" t="n">
        <v>4192</v>
      </c>
    </row>
    <row r="10">
      <c r="A10" s="2" t="inlineStr">
        <is>
          <t>Cataluña</t>
        </is>
      </c>
      <c r="B10" s="2" t="inlineStr">
        <is>
          <t>SIMEG</t>
        </is>
      </c>
      <c r="C10" s="2" t="n">
        <v>1504</v>
      </c>
      <c r="D10" s="2" t="n">
        <v>1618</v>
      </c>
      <c r="E10" s="2" t="n">
        <v>1757</v>
      </c>
      <c r="F10" s="2" t="n">
        <v>1897</v>
      </c>
      <c r="G10" s="2" t="n">
        <v>2044</v>
      </c>
      <c r="H10" s="2" t="n">
        <v>18.88</v>
      </c>
      <c r="I10" s="2" t="n">
        <v>20.6</v>
      </c>
      <c r="J10" s="2" t="n">
        <v>41.17</v>
      </c>
      <c r="K10" s="2" t="n">
        <v>22.66</v>
      </c>
      <c r="L10" s="2" t="n">
        <v>24.71</v>
      </c>
      <c r="M10" s="2" t="n">
        <v>49.38</v>
      </c>
      <c r="N10" s="2" t="n">
        <v>26.42</v>
      </c>
      <c r="O10" s="2" t="n">
        <v>28.83</v>
      </c>
      <c r="P10" s="2" t="n">
        <v>57.63</v>
      </c>
      <c r="Q10" s="2" t="n">
        <v>28.3</v>
      </c>
      <c r="R10" s="2" t="n">
        <v>30.86</v>
      </c>
      <c r="S10" s="2" t="n">
        <v>61.4</v>
      </c>
      <c r="T10" s="2" t="n">
        <v>2279</v>
      </c>
      <c r="U10" s="2" t="n">
        <v>3066</v>
      </c>
      <c r="V10" s="2" t="n">
        <v>3065</v>
      </c>
      <c r="W10" s="2" t="n">
        <v>4385</v>
      </c>
    </row>
    <row r="11">
      <c r="A11" s="3" t="inlineStr">
        <is>
          <t>Com. Valenciana</t>
        </is>
      </c>
      <c r="B11" s="3" t="inlineStr">
        <is>
          <t>SIMEG + CESM-CV/SATSE</t>
        </is>
      </c>
      <c r="C11" s="3" t="n">
        <v>1502</v>
      </c>
      <c r="D11" s="3" t="n">
        <v>1622</v>
      </c>
      <c r="E11" s="3" t="n">
        <v>1770</v>
      </c>
      <c r="F11" s="3" t="n">
        <v>1917</v>
      </c>
      <c r="G11" s="3" t="n">
        <v>2065</v>
      </c>
      <c r="H11" s="3" t="n">
        <v>13.9</v>
      </c>
      <c r="I11" s="3" t="n">
        <v>15.9</v>
      </c>
      <c r="J11" s="3" t="n">
        <v>27.8</v>
      </c>
      <c r="K11" s="3" t="n">
        <v>16.42</v>
      </c>
      <c r="L11" s="3" t="n">
        <v>18.41</v>
      </c>
      <c r="M11" s="3" t="n">
        <v>32.84</v>
      </c>
      <c r="N11" s="3" t="n">
        <v>18.95</v>
      </c>
      <c r="O11" s="3" t="n">
        <v>20.95</v>
      </c>
      <c r="P11" s="3" t="n">
        <v>37.9</v>
      </c>
      <c r="Q11" s="3" t="n">
        <v>21.48</v>
      </c>
      <c r="R11" s="3" t="n">
        <v>23.48</v>
      </c>
      <c r="S11" s="3" t="n">
        <v>42.96</v>
      </c>
      <c r="T11" s="3" t="n">
        <v>2000</v>
      </c>
      <c r="U11" s="3" t="n">
        <v>2674</v>
      </c>
      <c r="V11" s="3" t="n">
        <v>2708</v>
      </c>
      <c r="W11" s="3" t="n">
        <v>3843</v>
      </c>
    </row>
    <row r="12">
      <c r="A12" s="2" t="inlineStr">
        <is>
          <t>Extremadura</t>
        </is>
      </c>
      <c r="B12" s="2" t="inlineStr">
        <is>
          <t>SIMEG + SES</t>
        </is>
      </c>
      <c r="C12" s="2" t="n">
        <v>1414</v>
      </c>
      <c r="D12" s="2" t="n">
        <v>1525</v>
      </c>
      <c r="E12" s="2" t="n">
        <v>1664</v>
      </c>
      <c r="F12" s="2" t="n">
        <v>1803</v>
      </c>
      <c r="G12" s="2" t="n">
        <v>1941</v>
      </c>
      <c r="H12" s="2" t="n">
        <v>15.16</v>
      </c>
      <c r="I12" s="2" t="n">
        <v>16.58</v>
      </c>
      <c r="J12" s="2" t="n">
        <v>21.96</v>
      </c>
      <c r="K12" s="2" t="n">
        <v>16.56</v>
      </c>
      <c r="L12" s="2" t="n">
        <v>17.94</v>
      </c>
      <c r="M12" s="2" t="n">
        <v>23.33</v>
      </c>
      <c r="N12" s="2" t="n">
        <v>17.94</v>
      </c>
      <c r="O12" s="2" t="n">
        <v>19.85</v>
      </c>
      <c r="P12" s="2" t="n">
        <v>24.71</v>
      </c>
      <c r="Q12" s="2" t="n">
        <v>19.85</v>
      </c>
      <c r="R12" s="2" t="n">
        <v>21.26</v>
      </c>
      <c r="S12" s="2" t="n">
        <v>26.08</v>
      </c>
      <c r="T12" s="2" t="n">
        <v>2000</v>
      </c>
      <c r="U12" s="2" t="n">
        <v>2670</v>
      </c>
      <c r="V12" s="2" t="n">
        <v>2549</v>
      </c>
      <c r="W12" s="2" t="n">
        <v>3572</v>
      </c>
    </row>
    <row r="13">
      <c r="A13" s="3" t="inlineStr">
        <is>
          <t>Galicia</t>
        </is>
      </c>
      <c r="B13" s="3" t="inlineStr">
        <is>
          <t>SIMEG</t>
        </is>
      </c>
      <c r="C13" s="3" t="n">
        <v>1387</v>
      </c>
      <c r="D13" s="3" t="n">
        <v>1498</v>
      </c>
      <c r="E13" s="3" t="n">
        <v>1636</v>
      </c>
      <c r="F13" s="3" t="n">
        <v>1774</v>
      </c>
      <c r="G13" s="3" t="n">
        <v>1912</v>
      </c>
      <c r="H13" s="3" t="n">
        <v>16.05</v>
      </c>
      <c r="I13" s="3" t="n">
        <v>17.18</v>
      </c>
      <c r="J13" s="3" t="n">
        <v>17.18</v>
      </c>
      <c r="K13" s="3" t="n">
        <v>18.37</v>
      </c>
      <c r="L13" s="3" t="n">
        <v>19.69</v>
      </c>
      <c r="M13" s="3" t="n">
        <v>19.69</v>
      </c>
      <c r="N13" s="3" t="n">
        <v>20.7</v>
      </c>
      <c r="O13" s="3" t="n">
        <v>22.17</v>
      </c>
      <c r="P13" s="3" t="n">
        <v>22.17</v>
      </c>
      <c r="Q13" s="3" t="n">
        <v>22.9</v>
      </c>
      <c r="R13" s="3" t="n">
        <v>24.53</v>
      </c>
      <c r="S13" s="3" t="n">
        <v>24.53</v>
      </c>
      <c r="T13" s="3" t="n">
        <v>2014</v>
      </c>
      <c r="U13" s="3" t="n">
        <v>2705</v>
      </c>
      <c r="V13" s="3" t="n">
        <v>2667</v>
      </c>
      <c r="W13" s="3" t="n">
        <v>3793</v>
      </c>
    </row>
    <row r="14">
      <c r="A14" s="2" t="inlineStr">
        <is>
          <t>La Rioja</t>
        </is>
      </c>
      <c r="B14" s="2" t="inlineStr">
        <is>
          <t>SIMEG</t>
        </is>
      </c>
      <c r="C14" s="2" t="n">
        <v>1387</v>
      </c>
      <c r="D14" s="2" t="n">
        <v>1498</v>
      </c>
      <c r="E14" s="2" t="n">
        <v>1637</v>
      </c>
      <c r="F14" s="2" t="n">
        <v>1776</v>
      </c>
      <c r="G14" s="2" t="n">
        <v>1914</v>
      </c>
      <c r="H14" s="2" t="n">
        <v>15.71</v>
      </c>
      <c r="I14" s="2" t="n">
        <v>16.47</v>
      </c>
      <c r="J14" s="2" t="n">
        <v>32.94</v>
      </c>
      <c r="K14" s="2" t="n">
        <v>18.57</v>
      </c>
      <c r="L14" s="2" t="n">
        <v>19.46</v>
      </c>
      <c r="M14" s="2" t="n">
        <v>38.92</v>
      </c>
      <c r="N14" s="2" t="n">
        <v>20</v>
      </c>
      <c r="O14" s="2" t="n">
        <v>20.96</v>
      </c>
      <c r="P14" s="2" t="n">
        <v>41.92</v>
      </c>
      <c r="Q14" s="2" t="n">
        <v>22.85</v>
      </c>
      <c r="R14" s="2" t="n">
        <v>23.94</v>
      </c>
      <c r="S14" s="2" t="n">
        <v>47.88</v>
      </c>
      <c r="T14" s="2" t="n">
        <v>1998</v>
      </c>
      <c r="U14" s="2" t="n">
        <v>2667</v>
      </c>
      <c r="V14" s="2" t="n">
        <v>2671</v>
      </c>
      <c r="W14" s="2" t="n">
        <v>3775</v>
      </c>
    </row>
    <row r="15">
      <c r="A15" s="3" t="inlineStr">
        <is>
          <t>Madrid</t>
        </is>
      </c>
      <c r="B15" s="3" t="inlineStr">
        <is>
          <t>SIMEG + BOCM</t>
        </is>
      </c>
      <c r="C15" s="3" t="n">
        <v>1526</v>
      </c>
      <c r="D15" s="3" t="n">
        <v>1637</v>
      </c>
      <c r="E15" s="3" t="n">
        <v>1775</v>
      </c>
      <c r="F15" s="3" t="n">
        <v>1914</v>
      </c>
      <c r="G15" s="3" t="n">
        <v>2053</v>
      </c>
      <c r="H15" s="3" t="n">
        <v>12.5</v>
      </c>
      <c r="I15" s="3" t="n">
        <v>14.87</v>
      </c>
      <c r="J15" s="3" t="n">
        <v>29.74</v>
      </c>
      <c r="K15" s="3" t="n">
        <v>15</v>
      </c>
      <c r="L15" s="3" t="n">
        <v>17.36</v>
      </c>
      <c r="M15" s="3" t="n">
        <v>34.72</v>
      </c>
      <c r="N15" s="3" t="n">
        <v>17.59</v>
      </c>
      <c r="O15" s="3" t="n">
        <v>19.85</v>
      </c>
      <c r="P15" s="3" t="n">
        <v>39.7</v>
      </c>
      <c r="Q15" s="3" t="n">
        <v>19.99</v>
      </c>
      <c r="R15" s="3" t="n">
        <v>22.33</v>
      </c>
      <c r="S15" s="3" t="n">
        <v>44.66</v>
      </c>
      <c r="T15" s="3" t="n">
        <v>1948</v>
      </c>
      <c r="U15" s="3" t="n">
        <v>2597</v>
      </c>
      <c r="V15" s="3" t="n">
        <v>2635</v>
      </c>
      <c r="W15" s="3" t="n">
        <v>3722</v>
      </c>
    </row>
    <row r="16">
      <c r="A16" s="2" t="inlineStr">
        <is>
          <t>Murcia</t>
        </is>
      </c>
      <c r="B16" s="2" t="inlineStr">
        <is>
          <t>SIMEG</t>
        </is>
      </c>
      <c r="C16" s="2" t="n">
        <v>1474</v>
      </c>
      <c r="D16" s="2" t="n">
        <v>1498</v>
      </c>
      <c r="E16" s="2" t="n">
        <v>1637</v>
      </c>
      <c r="F16" s="2" t="n">
        <v>1776</v>
      </c>
      <c r="G16" s="2" t="n">
        <v>1914</v>
      </c>
      <c r="H16" s="2" t="n">
        <v>16.56</v>
      </c>
      <c r="I16" s="2" t="n">
        <v>17.75</v>
      </c>
      <c r="J16" s="2" t="n">
        <v>33.12</v>
      </c>
      <c r="K16" s="2" t="n">
        <v>19</v>
      </c>
      <c r="L16" s="2" t="n">
        <v>21.39</v>
      </c>
      <c r="M16" s="2" t="n">
        <v>38</v>
      </c>
      <c r="N16" s="2" t="n">
        <v>21.06</v>
      </c>
      <c r="O16" s="2" t="n">
        <v>23.46</v>
      </c>
      <c r="P16" s="2" t="n">
        <v>42.12</v>
      </c>
      <c r="Q16" s="2" t="n">
        <v>22.4</v>
      </c>
      <c r="R16" s="2" t="n">
        <v>25.95</v>
      </c>
      <c r="S16" s="2" t="n">
        <v>44.8</v>
      </c>
      <c r="T16" s="2" t="n">
        <v>2107</v>
      </c>
      <c r="U16" s="2" t="n">
        <v>2834</v>
      </c>
      <c r="V16" s="2" t="n">
        <v>2694</v>
      </c>
      <c r="W16" s="2" t="n">
        <v>3813</v>
      </c>
    </row>
    <row r="17">
      <c r="A17" s="3" t="inlineStr">
        <is>
          <t>Navarra</t>
        </is>
      </c>
      <c r="B17" s="3" t="inlineStr">
        <is>
          <t>SIMEG</t>
        </is>
      </c>
      <c r="C17" s="3" t="n">
        <v>1387</v>
      </c>
      <c r="D17" s="3" t="n">
        <v>1498</v>
      </c>
      <c r="E17" s="3" t="n">
        <v>1637</v>
      </c>
      <c r="F17" s="3" t="n">
        <v>1776</v>
      </c>
      <c r="G17" s="3" t="n">
        <v>1914</v>
      </c>
      <c r="H17" s="3" t="n">
        <v>19.39</v>
      </c>
      <c r="I17" s="3" t="n">
        <v>19.39</v>
      </c>
      <c r="J17" s="3" t="n">
        <v>38.78</v>
      </c>
      <c r="K17" s="3" t="n">
        <v>22.6</v>
      </c>
      <c r="L17" s="3" t="n">
        <v>22.6</v>
      </c>
      <c r="M17" s="3" t="n">
        <v>45.2</v>
      </c>
      <c r="N17" s="3" t="n">
        <v>25.83</v>
      </c>
      <c r="O17" s="3" t="n">
        <v>25.83</v>
      </c>
      <c r="P17" s="3" t="n">
        <v>51.66</v>
      </c>
      <c r="Q17" s="3" t="n">
        <v>28.45</v>
      </c>
      <c r="R17" s="3" t="n">
        <v>28.45</v>
      </c>
      <c r="S17" s="3" t="n">
        <v>56.9</v>
      </c>
      <c r="T17" s="3" t="n">
        <v>2192</v>
      </c>
      <c r="U17" s="3" t="n">
        <v>2938</v>
      </c>
      <c r="V17" s="3" t="n">
        <v>2875</v>
      </c>
      <c r="W17" s="3" t="n">
        <v>4190</v>
      </c>
    </row>
    <row r="18">
      <c r="A18" s="2" t="inlineStr">
        <is>
          <t>País Vasco</t>
        </is>
      </c>
      <c r="B18" s="2" t="inlineStr">
        <is>
          <t>SIMEG</t>
        </is>
      </c>
      <c r="C18" s="2" t="n">
        <v>1484</v>
      </c>
      <c r="D18" s="2" t="n">
        <v>1597</v>
      </c>
      <c r="E18" s="2" t="n">
        <v>1738</v>
      </c>
      <c r="F18" s="2" t="n">
        <v>1879</v>
      </c>
      <c r="G18" s="2" t="n">
        <v>2020</v>
      </c>
      <c r="H18" s="2" t="n">
        <v>17.18</v>
      </c>
      <c r="I18" s="2" t="n">
        <v>18.9</v>
      </c>
      <c r="J18" s="2" t="n">
        <v>34.36</v>
      </c>
      <c r="K18" s="2" t="n">
        <v>18.75</v>
      </c>
      <c r="L18" s="2" t="n">
        <v>20.62</v>
      </c>
      <c r="M18" s="2" t="n">
        <v>37.5</v>
      </c>
      <c r="N18" s="2" t="n">
        <v>21.86</v>
      </c>
      <c r="O18" s="2" t="n">
        <v>24.06</v>
      </c>
      <c r="P18" s="2" t="n">
        <v>43.72</v>
      </c>
      <c r="Q18" s="2" t="n">
        <v>24.99</v>
      </c>
      <c r="R18" s="2" t="n">
        <v>28.74</v>
      </c>
      <c r="S18" s="2" t="n">
        <v>49.98</v>
      </c>
      <c r="T18" s="2" t="n">
        <v>2216</v>
      </c>
      <c r="U18" s="2" t="n">
        <v>2910</v>
      </c>
      <c r="V18" s="2" t="n">
        <v>2979</v>
      </c>
      <c r="W18" s="2" t="n">
        <v>4131</v>
      </c>
    </row>
  </sheetData>
  <autoFilter ref="A1:W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Métrica</t>
        </is>
      </c>
      <c r="B1" s="4" t="inlineStr">
        <is>
          <t>R1</t>
        </is>
      </c>
      <c r="C1" s="4" t="inlineStr">
        <is>
          <t>R2</t>
        </is>
      </c>
      <c r="D1" s="4" t="inlineStr">
        <is>
          <t>R3</t>
        </is>
      </c>
      <c r="E1" s="4" t="inlineStr">
        <is>
          <t>R4</t>
        </is>
      </c>
      <c r="F1" s="4" t="inlineStr">
        <is>
          <t>R5</t>
        </is>
      </c>
    </row>
    <row r="2">
      <c r="A2" t="inlineStr">
        <is>
          <t>Bruto medio sin guardias €/mes</t>
        </is>
      </c>
      <c r="B2" t="n">
        <v>1447</v>
      </c>
      <c r="C2" t="n">
        <v>1555</v>
      </c>
      <c r="D2" t="n">
        <v>1694</v>
      </c>
      <c r="E2" t="n">
        <v>1833</v>
      </c>
      <c r="F2" t="n">
        <v>1973</v>
      </c>
    </row>
    <row r="3">
      <c r="A3" t="inlineStr">
        <is>
          <t>Bruto medio cartel/80h €/mes</t>
        </is>
      </c>
      <c r="B3" t="n">
        <v>2806</v>
      </c>
      <c r="C3" t="n">
        <v>3114</v>
      </c>
      <c r="D3" t="n">
        <v>3452</v>
      </c>
      <c r="E3" t="n">
        <v>3790</v>
      </c>
      <c r="F3" t="n">
        <v>3929</v>
      </c>
    </row>
    <row r="4">
      <c r="A4" t="inlineStr">
        <is>
          <t>Neto medio cartel/80h €/mes</t>
        </is>
      </c>
      <c r="B4" t="n">
        <v>2087</v>
      </c>
      <c r="C4" t="n">
        <v>2284</v>
      </c>
      <c r="D4" t="n">
        <v>2486</v>
      </c>
      <c r="E4" t="n">
        <v>2684</v>
      </c>
      <c r="F4" t="n">
        <v>2758</v>
      </c>
    </row>
    <row r="5">
      <c r="A5" t="inlineStr">
        <is>
          <t>Guardias como % del bruto total</t>
        </is>
      </c>
      <c r="B5" t="n">
        <v>0.484</v>
      </c>
      <c r="C5" t="n">
        <v>0.501</v>
      </c>
      <c r="D5" t="n">
        <v>0.509</v>
      </c>
      <c r="E5" t="n">
        <v>0.516</v>
      </c>
      <c r="F5" t="n">
        <v>0.498</v>
      </c>
    </row>
    <row r="6">
      <c r="A6" t="inlineStr">
        <is>
          <t>Horas ordinarias/mes usadas</t>
        </is>
      </c>
      <c r="B6" t="n">
        <v>162.5</v>
      </c>
      <c r="C6" t="n">
        <v>162.5</v>
      </c>
      <c r="D6" t="n">
        <v>162.5</v>
      </c>
      <c r="E6" t="n">
        <v>162.5</v>
      </c>
      <c r="F6" t="n">
        <v>162.5</v>
      </c>
    </row>
    <row r="7">
      <c r="A7" t="inlineStr">
        <is>
          <t>Horas de guardia/mes usadas</t>
        </is>
      </c>
      <c r="B7" t="n">
        <v>80</v>
      </c>
      <c r="C7" t="n">
        <v>80</v>
      </c>
      <c r="D7" t="n">
        <v>80</v>
      </c>
      <c r="E7" t="n">
        <v>80</v>
      </c>
      <c r="F7" t="n">
        <v>80</v>
      </c>
    </row>
    <row r="8">
      <c r="A8" t="inlineStr">
        <is>
          <t>Horas totales/mes</t>
        </is>
      </c>
      <c r="B8" t="n">
        <v>242.5</v>
      </c>
      <c r="C8" t="n">
        <v>242.5</v>
      </c>
      <c r="D8" t="n">
        <v>242.5</v>
      </c>
      <c r="E8" t="n">
        <v>242.5</v>
      </c>
      <c r="F8" t="n">
        <v>242.5</v>
      </c>
    </row>
    <row r="9">
      <c r="A9" t="inlineStr">
        <is>
          <t>Neto €/h real con 80h</t>
        </is>
      </c>
      <c r="B9" t="n">
        <v>8.609999999999999</v>
      </c>
      <c r="C9" t="n">
        <v>9.42</v>
      </c>
      <c r="D9" t="n">
        <v>10.25</v>
      </c>
      <c r="E9" t="n">
        <v>11.07</v>
      </c>
      <c r="F9" t="n">
        <v>11.37</v>
      </c>
    </row>
    <row r="10">
      <c r="A10" t="inlineStr">
        <is>
          <t>Neto €/h con 80h + 5h/sem formacion</t>
        </is>
      </c>
      <c r="B10" t="n">
        <v>7.9</v>
      </c>
      <c r="C10" t="n">
        <v>8.65</v>
      </c>
      <c r="D10" t="n">
        <v>9.41</v>
      </c>
      <c r="E10" t="n">
        <v>10.16</v>
      </c>
      <c r="F10" t="n">
        <v>10.44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120" customWidth="1" min="2" max="2"/>
  </cols>
  <sheetData>
    <row r="1">
      <c r="A1" s="5" t="inlineStr">
        <is>
          <t>Fuente</t>
        </is>
      </c>
      <c r="B1" s="5" t="inlineStr">
        <is>
          <t>URL o archivo</t>
        </is>
      </c>
    </row>
    <row r="2">
      <c r="A2" t="inlineStr">
        <is>
          <t>Ministerio de Sanidad - Nuevo Estatuto Marco</t>
        </is>
      </c>
      <c r="B2" t="inlineStr">
        <is>
          <t>https://www.sanidad.gob.es/areas/profesionesSanitarias/nuevoEstatutoMarco.htm</t>
        </is>
      </c>
    </row>
    <row r="3">
      <c r="A3" t="inlineStr">
        <is>
          <t>Anteproyecto de Ley Estatuto Marco 08/01/2026</t>
        </is>
      </c>
      <c r="B3" t="inlineStr">
        <is>
          <t>Propuesta-de-Anteproyecto-de-Ley-del-Estatuto-Marco-del-personal-estatutario-de-los-servicios-de-salud.pdf</t>
        </is>
      </c>
    </row>
    <row r="4">
      <c r="A4" t="inlineStr">
        <is>
          <t>CESM - Comité de Huelga 08/04/2026</t>
        </is>
      </c>
      <c r="B4" t="inlineStr">
        <is>
          <t>https://www.cesm.org/2026/04/08/el-comite-de-huelga-denuncia-que-el-ministerio-entorpece-la-negociacion-para-esconder-su-incapacidad-para-llegar-a-acuerdos-que-atiendan-las-reivindicaciones-del-colectivo/</t>
        </is>
      </c>
    </row>
    <row r="5">
      <c r="A5" t="inlineStr">
        <is>
          <t>CESM - Convocatoria huelga 22/01/2026</t>
        </is>
      </c>
      <c r="B5" t="inlineStr">
        <is>
          <t>https://www.cesm.org/2026/01/22/el-comite-de-huelga-convoca-un-paro-indefinido-a-partir-del-proximo-16-de-febrero-para-conseguir-un-estatuto-medico-y-facultativo/</t>
        </is>
      </c>
    </row>
    <row r="6">
      <c r="A6" t="inlineStr">
        <is>
          <t>SATSE - Acuerdo con Sanidad 26/01/2026</t>
        </is>
      </c>
      <c r="B6" t="inlineStr">
        <is>
          <t>https://www.satse.es/notas-prensa/-/v/85301/acuerdo-inicio-tramitacion-estatuto-marco</t>
        </is>
      </c>
    </row>
    <row r="7">
      <c r="A7" t="inlineStr">
        <is>
          <t>SIMEG - Retribuciones MIR 2026</t>
        </is>
      </c>
      <c r="B7" t="inlineStr">
        <is>
          <t>https://simeg.org/wp/wp-content/uploads/2026/04/Retribuciones-MIR-2026.pdf</t>
        </is>
      </c>
    </row>
    <row r="8">
      <c r="A8" t="inlineStr">
        <is>
          <t>Aragon SALUD - Tablas 2026</t>
        </is>
      </c>
      <c r="B8" t="inlineStr">
        <is>
          <t>https://www.aragon.es/documents/20127/128260043/Tablas_retributivas_personal_estatutario_SALUD_2026.pdf/e527d18c-861e-0a7d-166e-cd07bf2aad77?download=true&amp;t=1771839687505&amp;version=1.0</t>
        </is>
      </c>
    </row>
    <row r="9">
      <c r="A9" t="inlineStr">
        <is>
          <t>SAS Andalucia - Retribuciones 2026</t>
        </is>
      </c>
      <c r="B9" t="inlineStr">
        <is>
          <t>https://www.sspa.juntadeandalucia.es/servicioandaluzdesalud/profesionales/guia-laboral/retribuciones</t>
        </is>
      </c>
    </row>
    <row r="10">
      <c r="A10" t="inlineStr">
        <is>
          <t>SCS Canarias - Retribuciones 2026</t>
        </is>
      </c>
      <c r="B10" t="inlineStr">
        <is>
          <t>https://www3.gobiernodecanarias.org/sanidad/scs/contenidoGenerico.jsp?idCarpeta=c32fdf85-fc15-11dd-a72f-93771b0e33f6&amp;idDocument=b2540aca-fdab-11dd-b2aa-596c3deb1b4e</t>
        </is>
      </c>
    </row>
    <row r="11">
      <c r="A11" t="inlineStr">
        <is>
          <t>SES Extremadura - Tablas 2026</t>
        </is>
      </c>
      <c r="B11" t="inlineStr">
        <is>
          <t>https://www.sindicato-sip.es/wp-content/uploads/2026/02/Tablas-retributivas-2026-SES.pdf</t>
        </is>
      </c>
    </row>
    <row r="12">
      <c r="A12" t="inlineStr">
        <is>
          <t>BOCM Madrid - Retribuciones 2026</t>
        </is>
      </c>
      <c r="B12" t="inlineStr">
        <is>
          <t>https://www.bocm.es/boletin/CM_Orden_BOCM/2026/02/09/BOCM-20260209-6.PDF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2026-05-06T20:26:13Z</dcterms:created>
  <dcterms:modified xmlns:dcterms="http://purl.org/dc/terms/" xmlns:xsi="http://www.w3.org/2001/XMLSchema-instance" xsi:type="dcterms:W3CDTF">2026-05-06T20:52:30Z</dcterms:modified>
</cp:coreProperties>
</file>